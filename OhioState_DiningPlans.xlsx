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6b6b90fc96c975/Documents/"/>
    </mc:Choice>
  </mc:AlternateContent>
  <xr:revisionPtr revIDLastSave="243" documentId="8_{D3A49186-86D5-4B36-8474-9B87BFAA93D5}" xr6:coauthVersionLast="43" xr6:coauthVersionMax="43" xr10:uidLastSave="{ABCED0C8-9D20-4B86-B3CC-60872F9FEC9A}"/>
  <bookViews>
    <workbookView xWindow="-120" yWindow="-120" windowWidth="29040" windowHeight="15840" firstSheet="1" activeTab="1" xr2:uid="{CE1FDC6A-ABF8-465F-AEFC-CC44636F91BC}"/>
  </bookViews>
  <sheets>
    <sheet name="Chart1" sheetId="2" state="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" l="1"/>
  <c r="F20" i="1"/>
  <c r="F18" i="1"/>
  <c r="F16" i="1"/>
  <c r="G18" i="1"/>
  <c r="G16" i="1"/>
  <c r="D10" i="1"/>
  <c r="E10" i="1" s="1"/>
  <c r="D9" i="1"/>
  <c r="C9" i="1"/>
  <c r="C10" i="1"/>
  <c r="D5" i="1"/>
  <c r="D6" i="1"/>
  <c r="D7" i="1"/>
  <c r="D4" i="1"/>
  <c r="K9" i="1"/>
  <c r="K8" i="1"/>
  <c r="K7" i="1"/>
  <c r="F6" i="1"/>
  <c r="F5" i="1"/>
  <c r="E9" i="1" l="1"/>
</calcChain>
</file>

<file path=xl/sharedStrings.xml><?xml version="1.0" encoding="utf-8"?>
<sst xmlns="http://schemas.openxmlformats.org/spreadsheetml/2006/main" count="37" uniqueCount="28">
  <si>
    <t>Meal Plan</t>
  </si>
  <si>
    <t>Price / Semester</t>
  </si>
  <si>
    <t>Unlimited</t>
  </si>
  <si>
    <t>Gray 10</t>
  </si>
  <si>
    <t>Scarlet 14</t>
  </si>
  <si>
    <t>Declining Balance</t>
  </si>
  <si>
    <t>Weekly Swipes</t>
  </si>
  <si>
    <t>Dining Dollars</t>
  </si>
  <si>
    <t>Buck ID Cash</t>
  </si>
  <si>
    <t>Number of Weeks</t>
  </si>
  <si>
    <t>Visit Exchange</t>
  </si>
  <si>
    <t>DD Discount</t>
  </si>
  <si>
    <t>C-Store Discount</t>
  </si>
  <si>
    <t>Total Swipes</t>
  </si>
  <si>
    <t>Price / Swipe</t>
  </si>
  <si>
    <t>Breakfast</t>
  </si>
  <si>
    <t>Lunch</t>
  </si>
  <si>
    <t>Dinnner</t>
  </si>
  <si>
    <t>Cost of Swipes</t>
  </si>
  <si>
    <t>Price / Week</t>
  </si>
  <si>
    <t>Breakfast / Week</t>
  </si>
  <si>
    <t>V.E. / week</t>
  </si>
  <si>
    <t>Lunch / Week</t>
  </si>
  <si>
    <t>Dinner / Week</t>
  </si>
  <si>
    <t>Cost +/-</t>
  </si>
  <si>
    <t>Swipes / Week</t>
  </si>
  <si>
    <t>Sum of Swipes</t>
  </si>
  <si>
    <t>Sum of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</si>
</sst>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BF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5" borderId="0" xfId="0" applyFill="1" applyAlignment="1">
      <alignment horizontal="right"/>
    </xf>
    <xf numFmtId="0" fontId="0" fillId="5" borderId="0" xfId="0" applyFill="1"/>
    <xf numFmtId="8" fontId="0" fillId="5" borderId="6" xfId="0" applyNumberFormat="1" applyFill="1" applyBorder="1"/>
    <xf numFmtId="0" fontId="0" fillId="5" borderId="0" xfId="0" applyFill="1" applyBorder="1"/>
    <xf numFmtId="8" fontId="0" fillId="5" borderId="9" xfId="0" applyNumberFormat="1" applyFill="1" applyBorder="1"/>
    <xf numFmtId="8" fontId="0" fillId="5" borderId="11" xfId="0" applyNumberFormat="1" applyFill="1" applyBorder="1"/>
    <xf numFmtId="0" fontId="0" fillId="5" borderId="11" xfId="0" applyFill="1" applyBorder="1"/>
    <xf numFmtId="8" fontId="0" fillId="5" borderId="12" xfId="0" applyNumberFormat="1" applyFill="1" applyBorder="1"/>
    <xf numFmtId="8" fontId="0" fillId="5" borderId="13" xfId="0" applyNumberFormat="1" applyFill="1" applyBorder="1"/>
    <xf numFmtId="8" fontId="0" fillId="5" borderId="14" xfId="0" applyNumberFormat="1" applyFill="1" applyBorder="1"/>
    <xf numFmtId="8" fontId="0" fillId="5" borderId="15" xfId="0" applyNumberFormat="1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3" xfId="0" applyFill="1" applyBorder="1"/>
    <xf numFmtId="9" fontId="0" fillId="5" borderId="14" xfId="0" applyNumberFormat="1" applyFill="1" applyBorder="1"/>
    <xf numFmtId="0" fontId="0" fillId="5" borderId="14" xfId="0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0" fillId="4" borderId="1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3" xfId="0" applyFill="1" applyBorder="1"/>
    <xf numFmtId="0" fontId="0" fillId="2" borderId="2" xfId="0" applyFill="1" applyBorder="1"/>
    <xf numFmtId="0" fontId="0" fillId="5" borderId="10" xfId="0" applyFill="1" applyBorder="1"/>
    <xf numFmtId="0" fontId="0" fillId="3" borderId="7" xfId="0" applyFill="1" applyBorder="1"/>
    <xf numFmtId="8" fontId="0" fillId="0" borderId="12" xfId="0" applyNumberFormat="1" applyBorder="1"/>
    <xf numFmtId="0" fontId="0" fillId="2" borderId="5" xfId="0" applyFill="1" applyBorder="1"/>
    <xf numFmtId="0" fontId="0" fillId="2" borderId="6" xfId="0" applyFill="1" applyBorder="1"/>
    <xf numFmtId="0" fontId="1" fillId="5" borderId="0" xfId="0" applyFont="1" applyFill="1" applyBorder="1"/>
    <xf numFmtId="0" fontId="0" fillId="3" borderId="9" xfId="0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5" borderId="2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B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Weekly Swipes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Sheet1!$B$4:$C$12</c:f>
              <c:multiLvlStrCache>
                <c:ptCount val="7"/>
                <c:lvl>
                  <c:pt idx="0">
                    <c:v>$1,933.00 </c:v>
                  </c:pt>
                  <c:pt idx="1">
                    <c:v>$1,981.00 </c:v>
                  </c:pt>
                  <c:pt idx="2">
                    <c:v>$2,360.00 </c:v>
                  </c:pt>
                  <c:pt idx="3">
                    <c:v>$2,106.00 </c:v>
                  </c:pt>
                  <c:pt idx="4">
                    <c:v>Cost of Swipes</c:v>
                  </c:pt>
                  <c:pt idx="5">
                    <c:v>$1,523.31 </c:v>
                  </c:pt>
                  <c:pt idx="6">
                    <c:v>$1,902.31 </c:v>
                  </c:pt>
                </c:lvl>
                <c:lvl>
                  <c:pt idx="0">
                    <c:v>Unlimited</c:v>
                  </c:pt>
                  <c:pt idx="1">
                    <c:v>Gray 10</c:v>
                  </c:pt>
                  <c:pt idx="2">
                    <c:v>Scarlet 14</c:v>
                  </c:pt>
                  <c:pt idx="3">
                    <c:v>Declining Balance</c:v>
                  </c:pt>
                  <c:pt idx="4">
                    <c:v>Meal Plan</c:v>
                  </c:pt>
                  <c:pt idx="5">
                    <c:v>Gray 10</c:v>
                  </c:pt>
                  <c:pt idx="6">
                    <c:v>Scarlet 14</c:v>
                  </c:pt>
                </c:lvl>
              </c:multiLvlStrCache>
            </c:multiLvlStrRef>
          </c:cat>
          <c:val>
            <c:numRef>
              <c:f>Sheet1!$D$4:$D$12</c:f>
              <c:numCache>
                <c:formatCode>"$"#,##0.00_);[Red]\("$"#,##0.00\)</c:formatCode>
                <c:ptCount val="9"/>
                <c:pt idx="0">
                  <c:v>120.8125</c:v>
                </c:pt>
                <c:pt idx="1">
                  <c:v>123.8125</c:v>
                </c:pt>
                <c:pt idx="2">
                  <c:v>147.5</c:v>
                </c:pt>
                <c:pt idx="3">
                  <c:v>131.625</c:v>
                </c:pt>
                <c:pt idx="4" formatCode="General">
                  <c:v>0</c:v>
                </c:pt>
                <c:pt idx="5">
                  <c:v>9.5206730769230781</c:v>
                </c:pt>
                <c:pt idx="6">
                  <c:v>8.4924450549450547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D-4599-B5CA-B6F2C9ADAB9F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Total Swipes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Sheet1!$B$4:$C$12</c:f>
              <c:multiLvlStrCache>
                <c:ptCount val="7"/>
                <c:lvl>
                  <c:pt idx="0">
                    <c:v>$1,933.00 </c:v>
                  </c:pt>
                  <c:pt idx="1">
                    <c:v>$1,981.00 </c:v>
                  </c:pt>
                  <c:pt idx="2">
                    <c:v>$2,360.00 </c:v>
                  </c:pt>
                  <c:pt idx="3">
                    <c:v>$2,106.00 </c:v>
                  </c:pt>
                  <c:pt idx="4">
                    <c:v>Cost of Swipes</c:v>
                  </c:pt>
                  <c:pt idx="5">
                    <c:v>$1,523.31 </c:v>
                  </c:pt>
                  <c:pt idx="6">
                    <c:v>$1,902.31 </c:v>
                  </c:pt>
                </c:lvl>
                <c:lvl>
                  <c:pt idx="0">
                    <c:v>Unlimited</c:v>
                  </c:pt>
                  <c:pt idx="1">
                    <c:v>Gray 10</c:v>
                  </c:pt>
                  <c:pt idx="2">
                    <c:v>Scarlet 14</c:v>
                  </c:pt>
                  <c:pt idx="3">
                    <c:v>Declining Balance</c:v>
                  </c:pt>
                  <c:pt idx="4">
                    <c:v>Meal Plan</c:v>
                  </c:pt>
                  <c:pt idx="5">
                    <c:v>Gray 10</c:v>
                  </c:pt>
                  <c:pt idx="6">
                    <c:v>Scarlet 14</c:v>
                  </c:pt>
                </c:lvl>
              </c:multiLvlStrCache>
            </c:multiLvl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 formatCode="&quot;$&quot;#,##0.00_);[Red]\(&quot;$&quot;#,##0.00\)">
                  <c:v>95.206730769230774</c:v>
                </c:pt>
                <c:pt idx="6" formatCode="&quot;$&quot;#,##0.00_);[Red]\(&quot;$&quot;#,##0.00\)">
                  <c:v>118.89423076923077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D-4599-B5CA-B6F2C9ADAB9F}"/>
            </c:ext>
          </c:extLst>
        </c:ser>
        <c:ser>
          <c:idx val="2"/>
          <c:order val="2"/>
          <c:tx>
            <c:strRef>
              <c:f>Sheet1!$G$3</c:f>
              <c:strCache>
                <c:ptCount val="1"/>
                <c:pt idx="0">
                  <c:v>Dining Dollars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Sheet1!$B$4:$C$12</c:f>
              <c:multiLvlStrCache>
                <c:ptCount val="7"/>
                <c:lvl>
                  <c:pt idx="0">
                    <c:v>$1,933.00 </c:v>
                  </c:pt>
                  <c:pt idx="1">
                    <c:v>$1,981.00 </c:v>
                  </c:pt>
                  <c:pt idx="2">
                    <c:v>$2,360.00 </c:v>
                  </c:pt>
                  <c:pt idx="3">
                    <c:v>$2,106.00 </c:v>
                  </c:pt>
                  <c:pt idx="4">
                    <c:v>Cost of Swipes</c:v>
                  </c:pt>
                  <c:pt idx="5">
                    <c:v>$1,523.31 </c:v>
                  </c:pt>
                  <c:pt idx="6">
                    <c:v>$1,902.31 </c:v>
                  </c:pt>
                </c:lvl>
                <c:lvl>
                  <c:pt idx="0">
                    <c:v>Unlimited</c:v>
                  </c:pt>
                  <c:pt idx="1">
                    <c:v>Gray 10</c:v>
                  </c:pt>
                  <c:pt idx="2">
                    <c:v>Scarlet 14</c:v>
                  </c:pt>
                  <c:pt idx="3">
                    <c:v>Declining Balance</c:v>
                  </c:pt>
                  <c:pt idx="4">
                    <c:v>Meal Plan</c:v>
                  </c:pt>
                  <c:pt idx="5">
                    <c:v>Gray 10</c:v>
                  </c:pt>
                  <c:pt idx="6">
                    <c:v>Scarlet 14</c:v>
                  </c:pt>
                </c:lvl>
              </c:multiLvlStrCache>
            </c:multiLvlStrRef>
          </c:cat>
          <c:val>
            <c:numRef>
              <c:f>Sheet1!$F$4:$F$12</c:f>
              <c:numCache>
                <c:formatCode>General</c:formatCode>
                <c:ptCount val="9"/>
                <c:pt idx="0">
                  <c:v>0</c:v>
                </c:pt>
                <c:pt idx="1">
                  <c:v>160</c:v>
                </c:pt>
                <c:pt idx="2">
                  <c:v>224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D-4599-B5CA-B6F2C9ADAB9F}"/>
            </c:ext>
          </c:extLst>
        </c:ser>
        <c:ser>
          <c:idx val="3"/>
          <c:order val="3"/>
          <c:tx>
            <c:strRef>
              <c:f>Sheet1!$H$3</c:f>
              <c:strCache>
                <c:ptCount val="1"/>
                <c:pt idx="0">
                  <c:v>Buck ID Cash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Sheet1!$B$4:$C$12</c:f>
              <c:multiLvlStrCache>
                <c:ptCount val="7"/>
                <c:lvl>
                  <c:pt idx="0">
                    <c:v>$1,933.00 </c:v>
                  </c:pt>
                  <c:pt idx="1">
                    <c:v>$1,981.00 </c:v>
                  </c:pt>
                  <c:pt idx="2">
                    <c:v>$2,360.00 </c:v>
                  </c:pt>
                  <c:pt idx="3">
                    <c:v>$2,106.00 </c:v>
                  </c:pt>
                  <c:pt idx="4">
                    <c:v>Cost of Swipes</c:v>
                  </c:pt>
                  <c:pt idx="5">
                    <c:v>$1,523.31 </c:v>
                  </c:pt>
                  <c:pt idx="6">
                    <c:v>$1,902.31 </c:v>
                  </c:pt>
                </c:lvl>
                <c:lvl>
                  <c:pt idx="0">
                    <c:v>Unlimited</c:v>
                  </c:pt>
                  <c:pt idx="1">
                    <c:v>Gray 10</c:v>
                  </c:pt>
                  <c:pt idx="2">
                    <c:v>Scarlet 14</c:v>
                  </c:pt>
                  <c:pt idx="3">
                    <c:v>Declining Balance</c:v>
                  </c:pt>
                  <c:pt idx="4">
                    <c:v>Meal Plan</c:v>
                  </c:pt>
                  <c:pt idx="5">
                    <c:v>Gray 10</c:v>
                  </c:pt>
                  <c:pt idx="6">
                    <c:v>Scarlet 14</c:v>
                  </c:pt>
                </c:lvl>
              </c:multiLvlStrCache>
            </c:multiLvlStrRef>
          </c:cat>
          <c:val>
            <c:numRef>
              <c:f>Sheet1!$G$4:$G$12</c:f>
              <c:numCache>
                <c:formatCode>"$"#,##0.00_);[Red]\("$"#,##0.00\)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200</c:v>
                </c:pt>
                <c:pt idx="3">
                  <c:v>1369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CD-4599-B5CA-B6F2C9ADA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569168"/>
        <c:axId val="460569496"/>
      </c:barChart>
      <c:catAx>
        <c:axId val="4605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569496"/>
        <c:crosses val="autoZero"/>
        <c:auto val="1"/>
        <c:lblAlgn val="ctr"/>
        <c:lblOffset val="100"/>
        <c:noMultiLvlLbl val="0"/>
      </c:catAx>
      <c:valAx>
        <c:axId val="46056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5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84D1EC-5BAE-46CC-87B8-FD928E4285E5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44980-665F-4669-A6EB-7267B38A48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10</xdr:row>
      <xdr:rowOff>47625</xdr:rowOff>
    </xdr:from>
    <xdr:to>
      <xdr:col>11</xdr:col>
      <xdr:colOff>390525</xdr:colOff>
      <xdr:row>20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CEE38A-66F6-416A-BA8F-D9A52AC9DF02}"/>
            </a:ext>
          </a:extLst>
        </xdr:cNvPr>
        <xdr:cNvSpPr txBox="1"/>
      </xdr:nvSpPr>
      <xdr:spPr>
        <a:xfrm>
          <a:off x="6772275" y="1952625"/>
          <a:ext cx="3438525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Comparison</a:t>
          </a:r>
          <a:r>
            <a:rPr lang="en-US" sz="2000" b="1" baseline="0"/>
            <a:t> of Dining Plans</a:t>
          </a:r>
        </a:p>
        <a:p>
          <a:pPr algn="ctr"/>
          <a:r>
            <a:rPr lang="en-US" sz="2000" b="1" baseline="0"/>
            <a:t>at Ohio State University</a:t>
          </a:r>
          <a:endParaRPr lang="en-US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D664-CAC9-4D65-85C8-036D0E9C460D}">
  <dimension ref="A1:L21"/>
  <sheetViews>
    <sheetView tabSelected="1" workbookViewId="0">
      <selection activeCell="B12" sqref="B12"/>
    </sheetView>
  </sheetViews>
  <sheetFormatPr defaultRowHeight="15" x14ac:dyDescent="0.25"/>
  <cols>
    <col min="2" max="2" width="16.85546875" customWidth="1"/>
    <col min="3" max="3" width="15.5703125" customWidth="1"/>
    <col min="4" max="4" width="16.28515625" customWidth="1"/>
    <col min="5" max="5" width="14.85546875" customWidth="1"/>
    <col min="6" max="6" width="13.5703125" customWidth="1"/>
    <col min="7" max="7" width="13.42578125" customWidth="1"/>
    <col min="8" max="8" width="12.28515625" customWidth="1"/>
    <col min="9" max="9" width="9.140625" customWidth="1"/>
    <col min="10" max="10" width="17" customWidth="1"/>
  </cols>
  <sheetData>
    <row r="1" spans="1:1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19" t="s">
        <v>0</v>
      </c>
      <c r="C3" s="17" t="s">
        <v>1</v>
      </c>
      <c r="D3" s="17" t="s">
        <v>19</v>
      </c>
      <c r="E3" s="17" t="s">
        <v>6</v>
      </c>
      <c r="F3" s="17" t="s">
        <v>13</v>
      </c>
      <c r="G3" s="17" t="s">
        <v>7</v>
      </c>
      <c r="H3" s="18" t="s">
        <v>8</v>
      </c>
      <c r="I3" s="2"/>
      <c r="J3" s="22" t="s">
        <v>9</v>
      </c>
      <c r="K3" s="14">
        <v>16</v>
      </c>
      <c r="L3" s="2"/>
    </row>
    <row r="4" spans="1:12" x14ac:dyDescent="0.25">
      <c r="A4" s="2"/>
      <c r="B4" s="20" t="s">
        <v>2</v>
      </c>
      <c r="C4" s="5">
        <v>1933</v>
      </c>
      <c r="D4" s="10">
        <f>C4/$K$3</f>
        <v>120.8125</v>
      </c>
      <c r="E4" s="16" t="s">
        <v>2</v>
      </c>
      <c r="F4" s="16" t="s">
        <v>2</v>
      </c>
      <c r="G4" s="10">
        <v>100</v>
      </c>
      <c r="H4" s="5">
        <v>0</v>
      </c>
      <c r="I4" s="2"/>
      <c r="J4" s="20" t="s">
        <v>11</v>
      </c>
      <c r="K4" s="15">
        <v>0.65</v>
      </c>
      <c r="L4" s="2"/>
    </row>
    <row r="5" spans="1:12" x14ac:dyDescent="0.25">
      <c r="A5" s="2"/>
      <c r="B5" s="20" t="s">
        <v>3</v>
      </c>
      <c r="C5" s="5">
        <v>1981</v>
      </c>
      <c r="D5" s="10">
        <f t="shared" ref="D5:D7" si="0">C5/$K$3</f>
        <v>123.8125</v>
      </c>
      <c r="E5" s="12">
        <v>10</v>
      </c>
      <c r="F5" s="12">
        <f>E5*K3</f>
        <v>160</v>
      </c>
      <c r="G5" s="10">
        <v>200</v>
      </c>
      <c r="H5" s="5">
        <v>150</v>
      </c>
      <c r="I5" s="2"/>
      <c r="J5" s="20" t="s">
        <v>12</v>
      </c>
      <c r="K5" s="15">
        <v>0.9</v>
      </c>
      <c r="L5" s="2"/>
    </row>
    <row r="6" spans="1:12" x14ac:dyDescent="0.25">
      <c r="A6" s="2"/>
      <c r="B6" s="20" t="s">
        <v>4</v>
      </c>
      <c r="C6" s="5">
        <v>2360</v>
      </c>
      <c r="D6" s="10">
        <f t="shared" si="0"/>
        <v>147.5</v>
      </c>
      <c r="E6" s="12">
        <v>14</v>
      </c>
      <c r="F6" s="12">
        <f>E6*K3</f>
        <v>224</v>
      </c>
      <c r="G6" s="10">
        <v>200</v>
      </c>
      <c r="H6" s="5">
        <v>150</v>
      </c>
      <c r="I6" s="2"/>
      <c r="J6" s="20" t="s">
        <v>10</v>
      </c>
      <c r="K6" s="10">
        <v>8</v>
      </c>
      <c r="L6" s="2"/>
    </row>
    <row r="7" spans="1:12" x14ac:dyDescent="0.25">
      <c r="A7" s="2"/>
      <c r="B7" s="21" t="s">
        <v>5</v>
      </c>
      <c r="C7" s="8">
        <v>2106</v>
      </c>
      <c r="D7" s="11">
        <f t="shared" si="0"/>
        <v>131.625</v>
      </c>
      <c r="E7" s="13">
        <v>0</v>
      </c>
      <c r="F7" s="13">
        <v>0</v>
      </c>
      <c r="G7" s="11">
        <v>1369</v>
      </c>
      <c r="H7" s="8">
        <v>0</v>
      </c>
      <c r="I7" s="2"/>
      <c r="J7" s="20" t="s">
        <v>15</v>
      </c>
      <c r="K7" s="10">
        <f>4.5/0.65</f>
        <v>6.9230769230769225</v>
      </c>
      <c r="L7" s="2"/>
    </row>
    <row r="8" spans="1:12" x14ac:dyDescent="0.25">
      <c r="A8" s="2"/>
      <c r="B8" s="19" t="s">
        <v>0</v>
      </c>
      <c r="C8" s="23" t="s">
        <v>18</v>
      </c>
      <c r="D8" s="18" t="s">
        <v>14</v>
      </c>
      <c r="E8" s="18" t="s">
        <v>25</v>
      </c>
      <c r="F8" s="2"/>
      <c r="G8" s="2"/>
      <c r="H8" s="2"/>
      <c r="I8" s="2"/>
      <c r="J8" s="20" t="s">
        <v>16</v>
      </c>
      <c r="K8" s="10">
        <f>7/0.65</f>
        <v>10.769230769230768</v>
      </c>
      <c r="L8" s="2"/>
    </row>
    <row r="9" spans="1:12" x14ac:dyDescent="0.25">
      <c r="A9" s="2"/>
      <c r="B9" s="22" t="s">
        <v>3</v>
      </c>
      <c r="C9" s="9">
        <f>C5-(H5+(G5/($K$4)))</f>
        <v>1523.3076923076924</v>
      </c>
      <c r="D9" s="3">
        <f>C9/F5</f>
        <v>9.5206730769230781</v>
      </c>
      <c r="E9" s="9">
        <f>D9*E5</f>
        <v>95.206730769230774</v>
      </c>
      <c r="F9" s="2"/>
      <c r="G9" s="2"/>
      <c r="H9" s="4"/>
      <c r="I9" s="2"/>
      <c r="J9" s="21" t="s">
        <v>17</v>
      </c>
      <c r="K9" s="11">
        <f>8/0.65</f>
        <v>12.307692307692307</v>
      </c>
      <c r="L9" s="2"/>
    </row>
    <row r="10" spans="1:12" x14ac:dyDescent="0.25">
      <c r="A10" s="2"/>
      <c r="B10" s="21" t="s">
        <v>4</v>
      </c>
      <c r="C10" s="11">
        <f>C6-(H6+(G6/($K$4)))</f>
        <v>1902.3076923076924</v>
      </c>
      <c r="D10" s="6">
        <f>C10/F6</f>
        <v>8.4924450549450547</v>
      </c>
      <c r="E10" s="11">
        <f>D10*E6</f>
        <v>118.89423076923077</v>
      </c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1"/>
      <c r="D12" s="1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7" t="s">
        <v>21</v>
      </c>
      <c r="D14" s="28" t="s">
        <v>20</v>
      </c>
      <c r="E14" s="28" t="s">
        <v>22</v>
      </c>
      <c r="F14" s="28" t="s">
        <v>23</v>
      </c>
      <c r="G14" s="18" t="s">
        <v>24</v>
      </c>
      <c r="H14" s="2"/>
      <c r="I14" s="2"/>
      <c r="J14" s="2"/>
      <c r="K14" s="2"/>
      <c r="L14" s="2"/>
    </row>
    <row r="15" spans="1:12" x14ac:dyDescent="0.25">
      <c r="A15" s="2"/>
      <c r="B15" s="2"/>
      <c r="C15" s="31">
        <v>10</v>
      </c>
      <c r="D15" s="32">
        <v>0</v>
      </c>
      <c r="E15" s="32">
        <v>0</v>
      </c>
      <c r="F15" s="33">
        <v>0</v>
      </c>
      <c r="G15" s="25" t="s">
        <v>3</v>
      </c>
      <c r="H15" s="2"/>
      <c r="I15" s="2"/>
      <c r="J15" s="2"/>
      <c r="K15" s="2"/>
      <c r="L15" s="2"/>
    </row>
    <row r="16" spans="1:12" x14ac:dyDescent="0.25">
      <c r="A16" s="2"/>
      <c r="B16" s="2"/>
      <c r="C16" s="24"/>
      <c r="D16" s="7"/>
      <c r="E16" s="36" t="s">
        <v>26</v>
      </c>
      <c r="F16" s="37">
        <f>SUM(C15:F15)</f>
        <v>10</v>
      </c>
      <c r="G16" s="26">
        <f>(C15*K6+D15*K7+E15*K8+F15*K9)-E9</f>
        <v>-15.206730769230774</v>
      </c>
      <c r="H16" s="2"/>
      <c r="I16" s="2"/>
      <c r="J16" s="2"/>
      <c r="K16" s="2"/>
      <c r="L16" s="2"/>
    </row>
    <row r="17" spans="1:12" x14ac:dyDescent="0.25">
      <c r="A17" s="2"/>
      <c r="B17" s="2"/>
      <c r="C17" s="34">
        <v>14</v>
      </c>
      <c r="D17" s="29">
        <v>0</v>
      </c>
      <c r="E17" s="29">
        <v>0</v>
      </c>
      <c r="F17" s="35">
        <v>0</v>
      </c>
      <c r="G17" s="30" t="s">
        <v>4</v>
      </c>
      <c r="H17" s="2"/>
      <c r="I17" s="2"/>
      <c r="J17" s="2"/>
      <c r="K17" s="2"/>
      <c r="L17" s="2"/>
    </row>
    <row r="18" spans="1:12" x14ac:dyDescent="0.25">
      <c r="A18" s="2"/>
      <c r="B18" s="2"/>
      <c r="C18" s="24"/>
      <c r="D18" s="7"/>
      <c r="E18" s="36" t="s">
        <v>26</v>
      </c>
      <c r="F18" s="37">
        <f>SUM(C17:F17)</f>
        <v>14</v>
      </c>
      <c r="G18" s="26">
        <f>(C17*K6+D17*K7+E17*K8+F17*K9)-E10</f>
        <v>-6.8942307692307736</v>
      </c>
      <c r="H18" s="2"/>
      <c r="I18" s="2"/>
      <c r="J18" s="2"/>
      <c r="K18" s="2"/>
      <c r="L18" s="2"/>
    </row>
    <row r="19" spans="1:12" x14ac:dyDescent="0.25">
      <c r="A19" s="2"/>
      <c r="B19" s="2"/>
      <c r="C19" s="34">
        <v>0</v>
      </c>
      <c r="D19" s="29">
        <v>3</v>
      </c>
      <c r="E19" s="29">
        <v>4</v>
      </c>
      <c r="F19" s="35">
        <v>5</v>
      </c>
      <c r="G19" s="30" t="s">
        <v>2</v>
      </c>
      <c r="H19" s="2"/>
      <c r="I19" s="2"/>
      <c r="J19" s="2"/>
      <c r="K19" s="2"/>
      <c r="L19" s="2"/>
    </row>
    <row r="20" spans="1:12" x14ac:dyDescent="0.25">
      <c r="A20" s="2"/>
      <c r="B20" s="2"/>
      <c r="C20" s="24"/>
      <c r="D20" s="7"/>
      <c r="E20" s="36" t="s">
        <v>27</v>
      </c>
      <c r="F20" s="37">
        <f>SUM(C19:F19)</f>
        <v>12</v>
      </c>
      <c r="G20" s="26">
        <f>(C19*K6+D19*K7+E19*K8+F19*K9)-D4</f>
        <v>4.5721153846153726</v>
      </c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Jenkins</dc:creator>
  <cp:lastModifiedBy>Glenn Jenkins</cp:lastModifiedBy>
  <dcterms:created xsi:type="dcterms:W3CDTF">2019-04-11T16:19:51Z</dcterms:created>
  <dcterms:modified xsi:type="dcterms:W3CDTF">2019-04-11T17:39:25Z</dcterms:modified>
</cp:coreProperties>
</file>